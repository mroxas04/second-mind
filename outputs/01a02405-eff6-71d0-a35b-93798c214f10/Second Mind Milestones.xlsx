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975546950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59230dac87431a"/>
    <x:sheet xmlns:r="http://schemas.openxmlformats.org/officeDocument/2006/relationships" name="Codex Execution" sheetId="2" r:id="Rf9e6ba5170434506"/>
    <x:sheet xmlns:r="http://schemas.openxmlformats.org/officeDocument/2006/relationships" name="Update Log" sheetId="3" r:id="R278efcbdf708455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<x:sst xmlns:x="http://schemas.openxmlformats.org/spreadsheetml/2006/main">
  <x:si>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</x:si>
  <x:si>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Fellowship Year</x:t>
  </x:si>
  <x:si>
    <x:t xml:space="preserve">Month</x:t>
  </x:si>
  <x:si>
    <x:t xml:space="preserve">Phase</x:t>
  </x:si>
  <x:si>
    <x:t xml:space="preserve">Workstream</x:t>
  </x:si>
  <x:si>
    <x:t xml:space="preserve">Deliverable</x:t>
  </x:si>
  <x:si>
    <x:t xml:space="preserve">Definition of Done</x:t>
  </x:si>
  <x:si>
    <x:t xml:space="preserve">Due Date</x:t>
  </x:si>
  <x:si>
    <x:t xml:space="preserve">Commitment Tier</x:t>
  </x:si>
  <x:si>
    <x:t xml:space="preserve">Priority</x:t>
  </x:si>
  <x:si>
    <x:t xml:space="preserve">Status</x:t>
  </x:si>
  <x:si>
    <x:t xml:space="preserve">Progress %</x:t>
  </x:si>
  <x:si>
    <x:t xml:space="preserve">Estimated Hours</x:t>
  </x:si>
  <x:si>
    <x:t xml:space="preserve">Dependency / Trigger</x:t>
  </x:si>
  <x:si>
    <x:t xml:space="preserve">Evidence / Link</x:t>
  </x:si>
  <x:si>
    <x:t xml:space="preserve">Notes / Revision</x:t>
  </x:si>
  <x:si>
    <x:t xml:space="preserve">Health</x:t>
  </x:si>
  <x:si>
    <x:t xml:space="preserve">M009</x:t>
  </x:si>
  <x:si>
    <x:t xml:space="preserve">Year 1</x:t>
  </x:si>
  <x:si>
    <x:t xml:space="preserve">Foundation</x:t>
  </x:si>
  <x:si>
    <x:t xml:space="preserve">Second Mind</x:t>
  </x:si>
  <x:si>
    <x:t xml:space="preserve">Build chunking, metadata, embedding, and indexing</x:t>
  </x:si>
  <x:si>
    <x:t xml:space="preserve">New journal entries can be chunked and indexed locally with dates and source metadata preserved.</x:t>
  </x:si>
  <x:si>
    <x:t xml:space="preserve">Core</x:t>
  </x:si>
  <x:si>
    <x:t xml:space="preserve">High</x:t>
  </x:si>
  <x:si>
    <x:t xml:space="preserve">Journal ingestion is working reliably.</x:t>
  </x:si>
  <x:si>
    <x:t xml:space="preserve">M013</x:t>
  </x:si>
  <x:si>
    <x:t xml:space="preserve">First Outputs</x:t>
  </x:si>
  <x:si>
    <x:t xml:space="preserve">Deliver natural-language retrieval with citations</x:t>
  </x:si>
  <x:si>
    <x:t xml:space="preserve">A user can ask a question and receive relevant passages with source entry and date citations.</x:t>
  </x:si>
  <x:si>
    <x:t xml:space="preserve">Indexing pipeline is stable.</x:t>
  </x:si>
  <x:si>
    <x:t xml:space="preserve">M018</x:t>
  </x:si>
  <x:si>
    <x:t xml:space="preserve">Pass the five-question retrieval test</x:t>
  </x:si>
  <x:si>
    <x:t xml:space="preserve">Five real journal questions are scored for retrieval quality, citation accuracy, and appropriate refusal.</x:t>
  </x:si>
  <x:si>
    <x:t xml:space="preserve">Planned</x:t>
  </x:si>
  <x:si>
    <x:t xml:space="preserve">Natural-language retrieval is implemented.</x:t>
  </x:si>
  <x:si>
    <x:t xml:space="preserve">Due Soon</x:t>
  </x:si>
  <x:si>
    <x:t xml:space="preserve">M021</x:t>
  </x:si>
  <x:si>
    <x:t xml:space="preserve">Stabilize MVP v0.1</x:t>
  </x:si>
  <x:si>
    <x:t xml:space="preserve">The MVP runs locally, includes insufficient-evidence refusal behavior, has a README, and is useful in repeated use.</x:t>
  </x:si>
  <x:si>
    <x:t xml:space="preserve">Five-question test findings are available.</x:t>
  </x:si>
  <x:si>
    <x:t xml:space="preserve">Future</x:t>
  </x:si>
  <x:si>
    <x:t xml:space="preserve">M026</x:t>
  </x:si>
  <x:si>
    <x:t xml:space="preserve">Consolidate</x:t>
  </x:si>
  <x:si>
    <x:t xml:space="preserve">Automate updates and document backups</x:t>
  </x:si>
  <x:si>
    <x:t xml:space="preserve">New entries can be added through a repeatable command or workflow, and the data/index backup process is tested.</x:t>
  </x:si>
  <x:si>
    <x:t xml:space="preserve">MVP v0.1 is stable.</x:t>
  </x:si>
  <x:si>
    <x:t xml:space="preserve">M030</x:t>
  </x:si>
  <x:si>
    <x:t xml:space="preserve">Method Formation</x:t>
  </x:si>
  <x:si>
    <x:t xml:space="preserve">Log usage and identify the top failure modes</x:t>
  </x:si>
  <x:si>
    <x:t xml:space="preserve">At least ten real uses are logged and the top three failure patterns are prioritized.</x:t>
  </x:si>
  <x:si>
    <x:t xml:space="preserve">MVP is usable enough for repeated use.</x:t>
  </x:si>
  <x:si>
    <x:t xml:space="preserve">M035</x:t>
  </x:si>
  <x:si>
    <x:t xml:space="preserve">Ship v0.2 fixes</x:t>
  </x:si>
  <x:si>
    <x:t xml:space="preserve">The top retrieval or usability failures from the usage log are fixed and retested.</x:t>
  </x:si>
  <x:si>
    <x:t xml:space="preserve">Support</x:t>
  </x:si>
  <x:si>
    <x:t xml:space="preserve">Failure-mode priorities are clear.</x:t>
  </x:si>
  <x:si>
    <x:t xml:space="preserve">M047</x:t>
  </x:si>
  <x:si>
    <x:t xml:space="preserve">Validate Direction</x:t>
  </x:si>
  <x:si>
    <x:t xml:space="preserve">Make the local-hardware decision gate</x:t>
  </x:si>
  <x:si>
    <x:t xml:space="preserve">Decide whether current hardware is sufficient or a Mac mini is justified by actual usage and deployment needs.</x:t>
  </x:si>
  <x:si>
    <x:t xml:space="preserve">Medium</x:t>
  </x:si>
  <x:si>
    <x:t xml:space="preserve">Reassess current products and pricing at the time.</x:t>
  </x:si>
  <x:si>
    <x:t xml:space="preserve">M051</x:t>
  </x:si>
  <x:si>
    <x:t xml:space="preserve">Year 2</x:t>
  </x:si>
  <x:si>
    <x:t xml:space="preserve">Systematize</x:t>
  </x:si>
  <x:si>
    <x:t xml:space="preserve">Document architecture v1 and the media roadmap</x:t>
  </x:si>
  <x:si>
    <x:t xml:space="preserve">Current components, data flows, maintenance steps, scaling risks, and BeReal/media sequencing are documented.</x:t>
  </x:si>
  <x:si>
    <x:t xml:space="preserve">Journal MVP is stable and in real use.</x:t>
  </x:si>
  <x:si>
    <x:t xml:space="preserve">M054</x:t>
  </x:si>
  <x:si>
    <x:t xml:space="preserve">Prototype dated-media metadata ingestion</x:t>
  </x:si>
  <x:si>
    <x:t xml:space="preserve">A small BeReal or photo sample maps files to dates and links them to journal-entry metadata without full search yet.</x:t>
  </x:si>
  <x:si>
    <x:t xml:space="preserve">Only proceed if the journal MVP is used regularly.</x:t>
  </x:si>
  <x:si>
    <x:t xml:space="preserve">M059</x:t>
  </x:si>
  <x:si>
    <x:t xml:space="preserve">Soft Launch</x:t>
  </x:si>
  <x:si>
    <x:t xml:space="preserve">Run a backup-and-restore test</x:t>
  </x:si>
  <x:si>
    <x:t xml:space="preserve">The journal data, index, configuration, and metadata can be restored from a clean backup.</x:t>
  </x:si>
  <x:si>
    <x:t xml:space="preserve">Architecture and backup instructions exist.</x:t>
  </x:si>
  <x:si>
    <x:t xml:space="preserve">M067</x:t>
  </x:si>
  <x:si>
    <x:t xml:space="preserve">Operationalize</x:t>
  </x:si>
  <x:si>
    <x:t xml:space="preserve">Create the local deployment plan and budget</x:t>
  </x:si>
  <x:si>
    <x:t xml:space="preserve">Document required hardware, software, security, migration steps, cost, and why the setup is justified.</x:t>
  </x:si>
  <x:si>
    <x:t xml:space="preserve">Use current hardware information and actual usage.</x:t>
  </x:si>
  <x:si>
    <x:t xml:space="preserve">M072</x:t>
  </x:si>
  <x:si>
    <x:t xml:space="preserve">Complete a privacy and security review</x:t>
  </x:si>
  <x:si>
    <x:t xml:space="preserve">Threats, sensitive-data boundaries, local access controls, backup exposure, and deletion procedures are reviewed.</x:t>
  </x:si>
  <x:si>
    <x:t xml:space="preserve">Deployment plan exists.</x:t>
  </x:si>
  <x:si>
    <x:t xml:space="preserve">M076</x:t>
  </x:si>
  <x:si>
    <x:t xml:space="preserve">Generate a year-in-review query report</x:t>
  </x:si>
  <x:si>
    <x:t xml:space="preserve">Use the system to answer a defined set of year-review questions and assess whether it improves reflection.</x:t>
  </x:si>
  <x:si>
    <x:t xml:space="preserve">System has a full year of usable data.</x:t>
  </x:si>
  <x:si>
    <x:t xml:space="preserve">M084</x:t>
  </x:si>
  <x:si>
    <x:t xml:space="preserve">Application</x:t>
  </x:si>
  <x:si>
    <x:t xml:space="preserve">Run the deployment rehearsal</x:t>
  </x:si>
  <x:si>
    <x:t xml:space="preserve">A clean setup can be reproduced from documentation on the chosen local hardware or current machine.</x:t>
  </x:si>
  <x:si>
    <x:t xml:space="preserve">Deployment plan and security review are complete.</x:t>
  </x:si>
  <x:si>
    <x:t xml:space="preserve">M086</x:t>
  </x:si>
  <x:si>
    <x:t xml:space="preserve">Transition</x:t>
  </x:si>
  <x:si>
    <x:t xml:space="preserve">Release stable local v1</x:t>
  </x:si>
  <x:si>
    <x:t xml:space="preserve">The system runs locally, updates reliably, cites sources, refuses weak answers, and has backup/restore documentation.</x:t>
  </x:si>
  <x:si>
    <x:t xml:space="preserve">Deployment rehearsal passes.</x:t>
  </x:si>
</x:sst>
</file>

<file path=xl/styles.xml><?xml version="1.0" encoding="utf-8"?>
<x:styleSheet xmlns:x="http://schemas.openxmlformats.org/spreadsheetml/2006/main">
  <x:numFmts count="2">
    <x:numFmt numFmtId="164" formatCode="mmm yyyy"/>
    <x:numFmt numFmtId="165" formatCode="mmm d, yyyy"/>
  </x:numFmts>
  <x:fonts count="8">
    <x:font>
      <x:sz val="10"/>
      <x:color rgb="FF000000"/>
      <x:name val="Arial"/>
    </x:font>
    <x:font>
      <x:b/>
      <x:color rgb="FFFFFFFF"/>
      <x:name val="Aptos"/>
    </x:font>
    <x:font>
      <x:sz val="11"/>
      <x:color theme="1"/>
      <x:name val="Carlito"/>
    </x:font>
    <x:font>
      <x:color rgb="FF1F2933"/>
      <x:name val="Aptos"/>
    </x:font>
    <x:font>
      <x:b/>
      <x:color rgb="FF2F6B9A"/>
      <x:name val="Arial"/>
    </x:font>
    <x:font>
      <x:b/>
      <x:color rgb="FFC77700"/>
      <x:name val="Aptos"/>
    </x:font>
    <x:font>
      <x:b/>
      <x:sz val="10"/>
      <x:color rgb="FFFFFFFF"/>
      <x:name val="Arial"/>
    </x:font>
    <x:font>
      <x:sz val="10"/>
      <x:color rgb="FF1F2933"/>
      <x:name val="Arial"/>
    </x:font>
  </x:fonts>
  <x:fills count="9">
    <x:fill>
      <x:patternFill patternType="none"/>
    </x:fill>
    <x:fill>
      <x:patternFill patternType="lightGray"/>
    </x:fill>
    <x:fill>
      <x:patternFill patternType="solid">
        <x:fgColor rgb="FF156082"/>
      </x:patternFill>
    </x:fill>
    <x:fill>
      <x:patternFill patternType="solid">
        <x:fgColor rgb="FFC1E4F5"/>
      </x:patternFill>
    </x:fill>
    <x:fill>
      <x:patternFill patternType="solid">
        <x:fgColor rgb="FFEAF2F8"/>
      </x:patternFill>
    </x:fill>
    <x:fill>
      <x:patternFill patternType="solid">
        <x:fgColor rgb="FFFBF3DF"/>
      </x:patternFill>
    </x:fill>
    <x:fill>
      <x:patternFill patternType="solid">
        <x:fgColor rgb="FFFFFFFF"/>
      </x:patternFill>
    </x:fill>
    <x:fill>
      <x:patternFill patternType="solid">
        <x:fgColor rgb="FF156082"/>
      </x:patternFill>
    </x:fill>
    <x:fill>
      <x:patternFill patternType="solid">
        <x:fgColor rgb="FFD9E7F9"/>
      </x:patternFill>
    </x:fill>
  </x:fills>
  <x:borders count="9">
    <x:border/>
    <x:border/>
    <x:border/>
    <x:border/>
    <x:border>
      <x:left style="medium">
        <x:color rgb="FF0F4C64"/>
      </x:left>
      <x:top style="medium">
        <x:color rgb="FF0F4C64"/>
      </x:top>
      <x:bottom style="medium">
        <x:color rgb="FF0F4C64"/>
      </x:bottom>
    </x:border>
    <x:border>
      <x:top style="medium">
        <x:color rgb="FF0F4C64"/>
      </x:top>
      <x:bottom style="medium">
        <x:color rgb="FF0F4C64"/>
      </x:bottom>
    </x:border>
    <x:border>
      <x:right style="medium">
        <x:color rgb="FF0F4C64"/>
      </x:right>
      <x:top style="medium">
        <x:color rgb="FF0F4C64"/>
      </x:top>
      <x:bottom style="medium">
        <x:color rgb="FF0F4C64"/>
      </x:bottom>
    </x:border>
    <x:border>
      <x:bottom style="thin">
        <x:color rgb="FFD7E3EA"/>
      </x:bottom>
    </x:border>
    <x:border>
      <x:top style="thin">
        <x:color rgb="FFD7E3EA"/>
      </x:top>
      <x:bottom style="thin">
        <x:color rgb="FFD7E3EA"/>
      </x:bottom>
    </x:border>
  </x:borders>
  <x:cellStyleXfs count="1">
    <x:xf numFmtId="0" fontId="0" fillId="0" borderId="0" applyFont="1" applyAlignment="1"/>
  </x:cellStyleXfs>
  <x:cellXfs count="56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wrapText="1"/>
    </x:xf>
    <x:xf numFmtId="0" fontId="1" fillId="2" borderId="2" xfId="0" applyFont="1" applyFill="1" applyBorder="1" applyAlignment="1">
      <x:alignment horizontal="center" wrapText="1"/>
    </x:xf>
    <x:xf numFmtId="0" fontId="1" fillId="2" borderId="3" xfId="0" applyFont="1" applyFill="1" applyBorder="1" applyAlignment="1">
      <x:alignment horizontal="center" wrapText="1"/>
    </x:xf>
    <x:xf numFmtId="0" fontId="2" fillId="0" borderId="0" xfId="0" applyFont="1" applyAlignment="1">
      <x:alignment vertical="bottom"/>
    </x:xf>
    <x:xf numFmtId="0" fontId="3" fillId="3" borderId="0" xfId="0" applyFont="1" applyFill="1" applyAlignment="1">
      <x:alignment vertical="top" wrapText="1"/>
    </x:xf>
    <x:xf numFmtId="164" fontId="3" fillId="3" borderId="0" xfId="0" applyNumberFormat="1" applyFont="1" applyFill="1" applyAlignment="1">
      <x:alignment horizontal="right" vertical="top" wrapText="1"/>
    </x:xf>
    <x:xf numFmtId="165" fontId="3" fillId="3" borderId="0" xfId="0" applyNumberFormat="1" applyFont="1" applyFill="1" applyAlignment="1">
      <x:alignment horizontal="right" vertical="top" wrapText="1"/>
    </x:xf>
    <x:xf numFmtId="0" fontId="4" fillId="4" borderId="0" xfId="0" applyFont="1" applyFill="1" applyAlignment="1">
      <x:alignment vertical="top" wrapText="1"/>
    </x:xf>
    <x:xf numFmtId="9" fontId="3" fillId="3" borderId="0" xfId="0" applyNumberFormat="1" applyFont="1" applyFill="1" applyAlignment="1">
      <x:alignment horizontal="right" vertical="top" wrapText="1"/>
    </x:xf>
    <x:xf numFmtId="0" fontId="3" fillId="3" borderId="0" xfId="0" applyFont="1" applyFill="1" applyAlignment="1">
      <x:alignment horizontal="right" vertical="top" wrapText="1"/>
    </x:xf>
    <x:xf numFmtId="0" fontId="2" fillId="3" borderId="0" xfId="0" applyFont="1" applyFill="1" applyAlignment="1">
      <x:alignment vertical="top"/>
    </x:xf>
    <x:xf numFmtId="0" fontId="5" fillId="5" borderId="0" xfId="0" applyFont="1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164" fontId="3" fillId="6" borderId="0" xfId="0" applyNumberFormat="1" applyFont="1" applyFill="1" applyAlignment="1">
      <x:alignment horizontal="right" vertical="top" wrapText="1"/>
    </x:xf>
    <x:xf numFmtId="165" fontId="3" fillId="6" borderId="0" xfId="0" applyNumberFormat="1" applyFont="1" applyFill="1" applyAlignment="1">
      <x:alignment horizontal="right" vertical="top" wrapText="1"/>
    </x:xf>
    <x:xf numFmtId="9" fontId="3" fillId="6" borderId="0" xfId="0" applyNumberFormat="1" applyFont="1" applyFill="1" applyAlignment="1">
      <x:alignment horizontal="right" vertical="top" wrapText="1"/>
    </x:xf>
    <x:xf numFmtId="0" fontId="3" fillId="6" borderId="0" xfId="0" applyFont="1" applyFill="1" applyAlignment="1">
      <x:alignment horizontal="right" vertical="top" wrapText="1"/>
    </x:xf>
    <x:xf numFmtId="0" fontId="2" fillId="6" borderId="0" xfId="0" applyFont="1" applyFill="1" applyAlignment="1">
      <x:alignment vertical="top"/>
    </x:xf>
    <x:xf numFmtId="0" fontId="3" fillId="6" borderId="0" xfId="0" applyFont="1" applyFill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6" fillId="7" borderId="4" xfId="0" applyNumberFormat="1" applyFont="1" applyFill="1" applyBorder="1" applyAlignment="1">
      <x:alignment vertical="bottom" wrapText="0"/>
    </x:xf>
    <x:xf numFmtId="0" fontId="6" fillId="7" borderId="5" xfId="0" applyNumberFormat="1" applyFont="1" applyFill="1" applyBorder="1" applyAlignment="1">
      <x:alignment vertical="bottom" wrapText="0"/>
    </x:xf>
    <x:xf numFmtId="0" fontId="6" fillId="7" borderId="6" xfId="0" applyNumberFormat="1" applyFont="1" applyFill="1" applyBorder="1" applyAlignment="1">
      <x:alignment vertical="bottom" wrapText="0"/>
    </x:xf>
    <x:xf numFmtId="0" fontId="6" fillId="7" borderId="4" xfId="0" applyNumberFormat="1" applyFont="1" applyFill="1" applyBorder="1" applyAlignment="1">
      <x:alignment vertical="bottom" wrapText="1"/>
    </x:xf>
    <x:xf numFmtId="0" fontId="6" fillId="7" borderId="5" xfId="0" applyNumberFormat="1" applyFont="1" applyFill="1" applyBorder="1" applyAlignment="1">
      <x:alignment vertical="bottom" wrapText="1"/>
    </x:xf>
    <x:xf numFmtId="0" fontId="6" fillId="7" borderId="6" xfId="0" applyNumberFormat="1" applyFont="1" applyFill="1" applyBorder="1" applyAlignment="1">
      <x:alignment vertical="bottom" wrapText="1"/>
    </x:xf>
    <x:xf numFmtId="0" fontId="6" fillId="7" borderId="4" xfId="0" applyNumberFormat="1" applyFont="1" applyFill="1" applyBorder="1" applyAlignment="1">
      <x:alignment horizontal="center" vertical="bottom" wrapText="1"/>
    </x:xf>
    <x:xf numFmtId="0" fontId="6" fillId="7" borderId="5" xfId="0" applyNumberFormat="1" applyFont="1" applyFill="1" applyBorder="1" applyAlignment="1">
      <x:alignment horizontal="center" vertical="bottom" wrapText="1"/>
    </x:xf>
    <x:xf numFmtId="0" fontId="6" fillId="7" borderId="6" xfId="0" applyNumberFormat="1" applyFont="1" applyFill="1" applyBorder="1" applyAlignment="1">
      <x:alignment horizontal="center" vertical="bottom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7" xfId="0" applyNumberFormat="1" applyFont="1" applyFill="1" applyBorder="1" applyAlignment="1">
      <x:alignment vertical="bottom" wrapText="0"/>
    </x:xf>
    <x:xf numFmtId="0" fontId="7" fillId="0" borderId="8" xfId="0" applyNumberFormat="1" applyFont="1" applyFill="1" applyBorder="1" applyAlignment="1">
      <x:alignment vertical="bottom" wrapText="0"/>
    </x:xf>
    <x:xf numFmtId="0" fontId="7" fillId="0" borderId="7" xfId="0" applyNumberFormat="1" applyFont="1" applyFill="1" applyBorder="1" applyAlignment="1">
      <x:alignment vertical="bottom" wrapText="1"/>
    </x:xf>
    <x:xf numFmtId="0" fontId="7" fillId="0" borderId="8" xfId="0" applyNumberFormat="1" applyFont="1" applyFill="1" applyBorder="1" applyAlignment="1">
      <x:alignment vertical="bottom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164" fontId="7" fillId="0" borderId="7" xfId="0" applyNumberFormat="1" applyFont="1" applyFill="1" applyBorder="1" applyAlignment="1">
      <x:alignment vertical="top" wrapText="1"/>
    </x:xf>
    <x:xf numFmtId="164" fontId="7" fillId="0" borderId="8" xfId="0" applyNumberFormat="1" applyFont="1" applyFill="1" applyBorder="1" applyAlignment="1">
      <x:alignment vertical="top" wrapText="1"/>
    </x:xf>
    <x:xf numFmtId="165" fontId="7" fillId="0" borderId="7" xfId="0" applyNumberFormat="1" applyFont="1" applyFill="1" applyBorder="1" applyAlignment="1">
      <x:alignment vertical="top" wrapText="1"/>
    </x:xf>
    <x:xf numFmtId="165" fontId="7" fillId="0" borderId="8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7" fillId="0" xfId="0" applyNumberFormat="1" applyFont="1" applyFill="1" applyBorder="0" applyAlignment="1">
      <x:alignment vertical="bottom" wrapText="0"/>
    </x:xf>
    <x:xf numFmtId="0" fontId="7" fillId="0" xfId="0" applyNumberFormat="1" applyFont="1" applyFill="1" applyBorder="0" applyAlignment="1">
      <x:alignment vertical="bottom" wrapText="1"/>
    </x:xf>
    <x:xf numFmtId="0" fontId="7" fillId="0" xfId="0" applyNumberFormat="1" applyFont="1" applyFill="1" applyBorder="0" applyAlignment="1">
      <x:alignment vertical="top" wrapText="1"/>
    </x:xf>
    <x:xf numFmtId="165" fontId="7" fillId="0" xfId="0" applyNumberFormat="1" applyFont="1" applyFill="1" applyBorder="0" applyAlignment="1">
      <x:alignment vertical="top" wrapText="1"/>
    </x:xf>
    <x:xf numFmtId="165" fontId="7" fillId="8" xfId="0" applyNumberFormat="1" applyFont="1" applyFill="1" applyBorder="0" applyAlignment="1">
      <x:alignment vertical="top" wrapText="1"/>
    </x:xf>
    <x:xf numFmtId="0" fontId="7" fillId="8" xfId="0" applyNumberFormat="1" applyFont="1" applyFill="1" applyBorder="0" applyAlignment="1">
      <x:alignment vertical="top" wrapText="1"/>
    </x:xf>
    <x:xf numFmtId="165" fontId="7" fillId="8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b/>
        <x:color rgb="FF2E6B3A"/>
      </x:font>
      <x:fill>
        <x:patternFill>
          <x:bgColor rgb="FFD9EAD3"/>
        </x:patternFill>
      </x:fill>
    </x:dxf>
    <x:dxf>
      <x:font>
        <x:b/>
        <x:color rgb="FF2E6B3A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a836c26974068" /><Relationship Type="http://schemas.openxmlformats.org/officeDocument/2006/relationships/theme" Target="/xl/theme/theme1.xml" Id="R9e32ea29871a4eb6" /><Relationship Type="http://schemas.openxmlformats.org/officeDocument/2006/relationships/sharedStrings" Target="/xl/sharedStrings.xml" Id="Racd4aee7d5864465" /><Relationship Type="http://schemas.openxmlformats.org/officeDocument/2006/relationships/worksheet" Target="/xl/worksheets/sheet1.xml" Id="R7559230dac87431a" /><Relationship Type="http://schemas.openxmlformats.org/officeDocument/2006/relationships/worksheet" Target="/xl/worksheets/sheet2.xml" Id="Rf9e6ba5170434506" /><Relationship Type="http://schemas.openxmlformats.org/officeDocument/2006/relationships/worksheet" Target="/xl/worksheets/sheet3.xml" Id="R278efcbdf7084557" /></Relationships>
</file>

<file path=xl/tables/table1.xml><?xml version="1.0" encoding="utf-8"?>
<x:table xmlns:x="http://schemas.openxmlformats.org/spreadsheetml/2006/main" id="1" name="Table_1" displayName="Table_1" ref="A1:Q1" headerRowCount="0">
  <x:tableColumns count="1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</x:tableColumns>
  <x:tableStyleInfo name="Sheet1-style" showFirstColumn="1" showLastColumn="1" showRowStripes="1" showColumnStripes="0"/>
</x:table>
</file>

<file path=xl/tables/table2.xml><?xml version="1.0" encoding="utf-8"?>
<x:table xmlns:x="http://schemas.openxmlformats.org/spreadsheetml/2006/main" id="2" name="Table_2" displayName="Table_2" ref="A2:Q20" headerRowCount="0">
  <x:tableColumns count="1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</x:tableColumns>
  <x:tableStyleInfo name="Sheet1-style 2" showFirstColumn="1" showLastColumn="1" showRowStripes="1" showColumnStripes="0"/>
</x:table>
</file>

<file path=xl/tables/table3.xml><?xml version="1.0" encoding="utf-8"?>
<x:table xmlns:x="http://schemas.openxmlformats.org/spreadsheetml/2006/main" id="3" name="CodexExecutionTable" displayName="CodexExecutionTable" ref="A1:K17" headerRowCount="1" totalsRowCount="0" totalsRowShown="0">
  <x:tableColumns count="11">
    <x:tableColumn id="1" name="ID"/>
    <x:tableColumn id="2" name="Milestone"/>
    <x:tableColumn id="3" name="Month"/>
    <x:tableColumn id="4" name="Work Type"/>
    <x:tableColumn id="5" name="Codex Readiness"/>
    <x:tableColumn id="6" name="Roadmap Status"/>
    <x:tableColumn id="7" name="Agent Status"/>
    <x:tableColumn id="8" name="Human Gate / Required Input"/>
    <x:tableColumn id="9" name="Last Verified"/>
    <x:tableColumn id="10" name="Verification Evidence"/>
    <x:tableColumn id="11" name="Next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dateLogTable" displayName="UpdateLogTable" ref="A1:G6" headerRowCount="1" totalsRowCount="0" totalsRowShown="0">
  <x:tableColumns count="7">
    <x:tableColumn id="1" name="Updated At"/>
    <x:tableColumn id="2" name="Milestone ID"/>
    <x:tableColumn id="3" name="Field"/>
    <x:tableColumn id="4" name="Before"/>
    <x:tableColumn id="5" name="After"/>
    <x:tableColumn id="6" name="Evidence / Reason"/>
    <x:tableColumn id="7" name="Upda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048741ef78462a" /><Relationship Type="http://schemas.openxmlformats.org/officeDocument/2006/relationships/table" Target="/xl/tables/table2.xml" Id="Raeed95ca78d040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3a4ded5ddc0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f29c211e5994f23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5" max="15" width="30" hidden="0" customWidth="1"/>
    <x:col min="16" max="16" width="34" hidden="0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3" t="s">
        <x:v>16</x:v>
      </x:c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5" t="s">
        <x:v>17</x:v>
      </x:c>
      <x:c r="B2" s="5" t="s">
        <x:v>18</x:v>
      </x:c>
      <x:c r="C2" s="6">
        <x:v>46235.0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7">
        <x:v>46265.0</x:v>
      </x:c>
      <x:c r="I2" s="5" t="s">
        <x:v>23</x:v>
      </x:c>
      <x:c r="J2" s="5" t="s">
        <x:v>24</x:v>
      </x:c>
      <x:c r="K2" s="8" t="str">
        <x:v>Complete</x:v>
      </x:c>
      <x:c r="L2" s="9" t="n">
        <x:v>1</x:v>
      </x:c>
      <x:c r="M2" s="10">
        <x:v>12.0</x:v>
      </x:c>
      <x:c r="N2" s="5" t="s">
        <x:v>25</x:v>
      </x:c>
      <x:c r="O2" s="21" t="str">
        <x:v>2026-08-21 • commit 4e512f2 • 38 tests passed • sample index/query verified • unchanged re-index skipped 3/3.</x:v>
      </x:c>
      <x:c r="P2" s="21" t="str">
        <x:v>Codex reconciliation: definition of done verified with synthetic journals only; no private content inspected. Next: approve AGENTS.md transition to M013.</x:v>
      </x:c>
      <x:c r="Q2" s="12" t="str">
        <x:v>Complete</x:v>
      </x:c>
    </x:row>
    <x:row r="3" ht="96" customHeight="1">
      <x:c r="A3" s="13" t="s">
        <x:v>26</x:v>
      </x:c>
      <x:c r="B3" s="13" t="s">
        <x:v>18</x:v>
      </x:c>
      <x:c r="C3" s="14">
        <x:v>46266.0</x:v>
      </x:c>
      <x:c r="D3" s="13" t="s">
        <x:v>27</x:v>
      </x:c>
      <x:c r="E3" s="13" t="s">
        <x:v>20</x:v>
      </x:c>
      <x:c r="F3" s="13" t="s">
        <x:v>28</x:v>
      </x:c>
      <x:c r="G3" s="13" t="s">
        <x:v>29</x:v>
      </x:c>
      <x:c r="H3" s="15">
        <x:v>46295.0</x:v>
      </x:c>
      <x:c r="I3" s="13" t="s">
        <x:v>23</x:v>
      </x:c>
      <x:c r="J3" s="13" t="s">
        <x:v>24</x:v>
      </x:c>
      <x:c r="K3" s="13" t="str">
        <x:v>Complete</x:v>
      </x:c>
      <x:c r="L3" s="16" t="n">
        <x:v>1</x:v>
      </x:c>
      <x:c r="M3" s="17">
        <x:v>14.0</x:v>
      </x:c>
      <x:c r="N3" s="13" t="s">
        <x:v>30</x:v>
      </x:c>
      <x:c r="O3" s="47" t="str">
        <x:v>2026-08-21 • 47 tests passed • cited library retrieval and insufficient-evidence refusal verified • branch codex/m013-natural-language-retrieval</x:v>
      </x:c>
      <x:c r="P3" s="47" t="str">
        <x:v>Codex reconciliation: M013 verified with synthetic journals only; no private content inspected. Next: approve transition to M018 and provide five private questions for local-only scoring.</x:v>
      </x:c>
      <x:c r="Q3" s="19" t="str">
        <x:v>Complete</x:v>
      </x:c>
    </x:row>
    <x:row r="4">
      <x:c r="A4" s="5" t="s">
        <x:v>31</x:v>
      </x:c>
      <x:c r="B4" s="5" t="s">
        <x:v>18</x:v>
      </x:c>
      <x:c r="C4" s="6">
        <x:v>46296.0</x:v>
      </x:c>
      <x:c r="D4" s="5" t="s">
        <x:v>27</x:v>
      </x:c>
      <x:c r="E4" s="5" t="s">
        <x:v>20</x:v>
      </x:c>
      <x:c r="F4" s="5" t="s">
        <x:v>32</x:v>
      </x:c>
      <x:c r="G4" s="5" t="s">
        <x:v>33</x:v>
      </x:c>
      <x:c r="H4" s="7">
        <x:v>46326.0</x:v>
      </x:c>
      <x:c r="I4" s="5" t="s">
        <x:v>23</x:v>
      </x:c>
      <x:c r="J4" s="5" t="s">
        <x:v>24</x:v>
      </x:c>
      <x:c r="K4" s="5" t="s">
        <x:v>34</x:v>
      </x:c>
      <x:c r="L4" s="9">
        <x:v>0.0</x:v>
      </x:c>
      <x:c r="M4" s="10">
        <x:v>8.0</x:v>
      </x:c>
      <x:c r="N4" s="5" t="s">
        <x:v>35</x:v>
      </x:c>
      <x:c r="O4" s="11"/>
      <x:c r="P4" s="11"/>
      <x:c r="Q4" s="20" t="s">
        <x:v>36</x:v>
      </x:c>
    </x:row>
    <x:row r="5">
      <x:c r="A5" s="13" t="s">
        <x:v>37</x:v>
      </x:c>
      <x:c r="B5" s="13" t="s">
        <x:v>18</x:v>
      </x:c>
      <x:c r="C5" s="14">
        <x:v>46327.0</x:v>
      </x:c>
      <x:c r="D5" s="13" t="s">
        <x:v>27</x:v>
      </x:c>
      <x:c r="E5" s="13" t="s">
        <x:v>20</x:v>
      </x:c>
      <x:c r="F5" s="13" t="s">
        <x:v>38</x:v>
      </x:c>
      <x:c r="G5" s="13" t="s">
        <x:v>39</x:v>
      </x:c>
      <x:c r="H5" s="15">
        <x:v>46356.0</x:v>
      </x:c>
      <x:c r="I5" s="13" t="s">
        <x:v>23</x:v>
      </x:c>
      <x:c r="J5" s="13" t="s">
        <x:v>24</x:v>
      </x:c>
      <x:c r="K5" s="13" t="s">
        <x:v>34</x:v>
      </x:c>
      <x:c r="L5" s="16">
        <x:v>0.0</x:v>
      </x:c>
      <x:c r="M5" s="17">
        <x:v>10.0</x:v>
      </x:c>
      <x:c r="N5" s="13" t="s">
        <x:v>40</x:v>
      </x:c>
      <x:c r="O5" s="18"/>
      <x:c r="P5" s="18"/>
      <x:c r="Q5" s="19" t="s">
        <x:v>41</x:v>
      </x:c>
    </x:row>
    <x:row r="6">
      <x:c r="A6" s="5" t="s">
        <x:v>42</x:v>
      </x:c>
      <x:c r="B6" s="5" t="s">
        <x:v>18</x:v>
      </x:c>
      <x:c r="C6" s="6">
        <x:v>46357.0</x:v>
      </x:c>
      <x:c r="D6" s="5" t="s">
        <x:v>43</x:v>
      </x:c>
      <x:c r="E6" s="5" t="s">
        <x:v>20</x:v>
      </x:c>
      <x:c r="F6" s="5" t="s">
        <x:v>44</x:v>
      </x:c>
      <x:c r="G6" s="5" t="s">
        <x:v>45</x:v>
      </x:c>
      <x:c r="H6" s="7">
        <x:v>46387.0</x:v>
      </x:c>
      <x:c r="I6" s="5" t="s">
        <x:v>23</x:v>
      </x:c>
      <x:c r="J6" s="5" t="s">
        <x:v>24</x:v>
      </x:c>
      <x:c r="K6" s="5" t="s">
        <x:v>34</x:v>
      </x:c>
      <x:c r="L6" s="9">
        <x:v>0.0</x:v>
      </x:c>
      <x:c r="M6" s="10">
        <x:v>8.0</x:v>
      </x:c>
      <x:c r="N6" s="5" t="s">
        <x:v>46</x:v>
      </x:c>
      <x:c r="O6" s="11"/>
      <x:c r="P6" s="11"/>
      <x:c r="Q6" s="20" t="s">
        <x:v>41</x:v>
      </x:c>
    </x:row>
    <x:row r="7">
      <x:c r="A7" s="13" t="s">
        <x:v>47</x:v>
      </x:c>
      <x:c r="B7" s="13" t="s">
        <x:v>18</x:v>
      </x:c>
      <x:c r="C7" s="14">
        <x:v>46388.0</x:v>
      </x:c>
      <x:c r="D7" s="13" t="s">
        <x:v>48</x:v>
      </x:c>
      <x:c r="E7" s="13" t="s">
        <x:v>20</x:v>
      </x:c>
      <x:c r="F7" s="13" t="s">
        <x:v>49</x:v>
      </x:c>
      <x:c r="G7" s="13" t="s">
        <x:v>50</x:v>
      </x:c>
      <x:c r="H7" s="15">
        <x:v>46418.0</x:v>
      </x:c>
      <x:c r="I7" s="13" t="s">
        <x:v>23</x:v>
      </x:c>
      <x:c r="J7" s="13" t="s">
        <x:v>24</x:v>
      </x:c>
      <x:c r="K7" s="13" t="s">
        <x:v>34</x:v>
      </x:c>
      <x:c r="L7" s="16">
        <x:v>0.0</x:v>
      </x:c>
      <x:c r="M7" s="17">
        <x:v>5.0</x:v>
      </x:c>
      <x:c r="N7" s="13" t="s">
        <x:v>51</x:v>
      </x:c>
      <x:c r="O7" s="18"/>
      <x:c r="P7" s="18"/>
      <x:c r="Q7" s="19" t="s">
        <x:v>41</x:v>
      </x:c>
    </x:row>
    <x:row r="8">
      <x:c r="A8" s="5" t="s">
        <x:v>52</x:v>
      </x:c>
      <x:c r="B8" s="5" t="s">
        <x:v>18</x:v>
      </x:c>
      <x:c r="C8" s="6">
        <x:v>46419.0</x:v>
      </x:c>
      <x:c r="D8" s="5" t="s">
        <x:v>48</x:v>
      </x:c>
      <x:c r="E8" s="5" t="s">
        <x:v>20</x:v>
      </x:c>
      <x:c r="F8" s="5" t="s">
        <x:v>53</x:v>
      </x:c>
      <x:c r="G8" s="5" t="s">
        <x:v>54</x:v>
      </x:c>
      <x:c r="H8" s="7">
        <x:v>46446.0</x:v>
      </x:c>
      <x:c r="I8" s="5" t="s">
        <x:v>55</x:v>
      </x:c>
      <x:c r="J8" s="5" t="s">
        <x:v>24</x:v>
      </x:c>
      <x:c r="K8" s="5" t="s">
        <x:v>34</x:v>
      </x:c>
      <x:c r="L8" s="9">
        <x:v>0.0</x:v>
      </x:c>
      <x:c r="M8" s="10">
        <x:v>8.0</x:v>
      </x:c>
      <x:c r="N8" s="5" t="s">
        <x:v>56</x:v>
      </x:c>
      <x:c r="O8" s="11"/>
      <x:c r="P8" s="11"/>
      <x:c r="Q8" s="20" t="s">
        <x:v>41</x:v>
      </x:c>
    </x:row>
    <x:row r="9">
      <x:c r="A9" s="13" t="s">
        <x:v>57</x:v>
      </x:c>
      <x:c r="B9" s="13" t="s">
        <x:v>18</x:v>
      </x:c>
      <x:c r="C9" s="14">
        <x:v>46508.0</x:v>
      </x:c>
      <x:c r="D9" s="13" t="s">
        <x:v>58</x:v>
      </x:c>
      <x:c r="E9" s="13" t="s">
        <x:v>20</x:v>
      </x:c>
      <x:c r="F9" s="13" t="s">
        <x:v>59</x:v>
      </x:c>
      <x:c r="G9" s="13" t="s">
        <x:v>60</x:v>
      </x:c>
      <x:c r="H9" s="15">
        <x:v>46538.0</x:v>
      </x:c>
      <x:c r="I9" s="13" t="s">
        <x:v>55</x:v>
      </x:c>
      <x:c r="J9" s="13" t="s">
        <x:v>61</x:v>
      </x:c>
      <x:c r="K9" s="13" t="s">
        <x:v>34</x:v>
      </x:c>
      <x:c r="L9" s="16">
        <x:v>0.0</x:v>
      </x:c>
      <x:c r="M9" s="17">
        <x:v>3.0</x:v>
      </x:c>
      <x:c r="N9" s="13" t="s">
        <x:v>62</x:v>
      </x:c>
      <x:c r="O9" s="18"/>
      <x:c r="P9" s="18"/>
      <x:c r="Q9" s="19" t="s">
        <x:v>41</x:v>
      </x:c>
    </x:row>
    <x:row r="10">
      <x:c r="A10" s="5" t="s">
        <x:v>63</x:v>
      </x:c>
      <x:c r="B10" s="5" t="s">
        <x:v>64</x:v>
      </x:c>
      <x:c r="C10" s="6">
        <x:v>46539.0</x:v>
      </x:c>
      <x:c r="D10" s="5" t="s">
        <x:v>65</x:v>
      </x:c>
      <x:c r="E10" s="5" t="s">
        <x:v>20</x:v>
      </x:c>
      <x:c r="F10" s="5" t="s">
        <x:v>66</x:v>
      </x:c>
      <x:c r="G10" s="5" t="s">
        <x:v>67</x:v>
      </x:c>
      <x:c r="H10" s="7">
        <x:v>46568.0</x:v>
      </x:c>
      <x:c r="I10" s="5" t="s">
        <x:v>55</x:v>
      </x:c>
      <x:c r="J10" s="5" t="s">
        <x:v>24</x:v>
      </x:c>
      <x:c r="K10" s="5" t="s">
        <x:v>34</x:v>
      </x:c>
      <x:c r="L10" s="9">
        <x:v>0.0</x:v>
      </x:c>
      <x:c r="M10" s="10">
        <x:v>7.0</x:v>
      </x:c>
      <x:c r="N10" s="5" t="s">
        <x:v>68</x:v>
      </x:c>
      <x:c r="O10" s="11"/>
      <x:c r="P10" s="11"/>
      <x:c r="Q10" s="20" t="s">
        <x:v>41</x:v>
      </x:c>
    </x:row>
    <x:row r="11">
      <x:c r="A11" s="13" t="s">
        <x:v>69</x:v>
      </x:c>
      <x:c r="B11" s="13" t="s">
        <x:v>64</x:v>
      </x:c>
      <x:c r="C11" s="14">
        <x:v>46569.0</x:v>
      </x:c>
      <x:c r="D11" s="13" t="s">
        <x:v>65</x:v>
      </x:c>
      <x:c r="E11" s="13" t="s">
        <x:v>20</x:v>
      </x:c>
      <x:c r="F11" s="13" t="s">
        <x:v>70</x:v>
      </x:c>
      <x:c r="G11" s="13" t="s">
        <x:v>71</x:v>
      </x:c>
      <x:c r="H11" s="15">
        <x:v>46599.0</x:v>
      </x:c>
      <x:c r="I11" s="13" t="s">
        <x:v>23</x:v>
      </x:c>
      <x:c r="J11" s="13" t="s">
        <x:v>61</x:v>
      </x:c>
      <x:c r="K11" s="13" t="s">
        <x:v>34</x:v>
      </x:c>
      <x:c r="L11" s="16">
        <x:v>0.0</x:v>
      </x:c>
      <x:c r="M11" s="17">
        <x:v>10.0</x:v>
      </x:c>
      <x:c r="N11" s="13" t="s">
        <x:v>72</x:v>
      </x:c>
      <x:c r="O11" s="18"/>
      <x:c r="P11" s="18"/>
      <x:c r="Q11" s="19" t="s">
        <x:v>41</x:v>
      </x:c>
    </x:row>
    <x:row r="12">
      <x:c r="A12" s="5" t="s">
        <x:v>73</x:v>
      </x:c>
      <x:c r="B12" s="5" t="s">
        <x:v>64</x:v>
      </x:c>
      <x:c r="C12" s="6">
        <x:v>46600.0</x:v>
      </x:c>
      <x:c r="D12" s="5" t="s">
        <x:v>74</x:v>
      </x:c>
      <x:c r="E12" s="5" t="s">
        <x:v>20</x:v>
      </x:c>
      <x:c r="F12" s="5" t="s">
        <x:v>75</x:v>
      </x:c>
      <x:c r="G12" s="5" t="s">
        <x:v>76</x:v>
      </x:c>
      <x:c r="H12" s="7">
        <x:v>46630.0</x:v>
      </x:c>
      <x:c r="I12" s="5" t="s">
        <x:v>55</x:v>
      </x:c>
      <x:c r="J12" s="5" t="s">
        <x:v>24</x:v>
      </x:c>
      <x:c r="K12" s="5" t="s">
        <x:v>34</x:v>
      </x:c>
      <x:c r="L12" s="9">
        <x:v>0.0</x:v>
      </x:c>
      <x:c r="M12" s="10">
        <x:v>5.0</x:v>
      </x:c>
      <x:c r="N12" s="5" t="s">
        <x:v>77</x:v>
      </x:c>
      <x:c r="O12" s="11"/>
      <x:c r="P12" s="11"/>
      <x:c r="Q12" s="20" t="s">
        <x:v>41</x:v>
      </x:c>
    </x:row>
    <x:row r="13">
      <x:c r="A13" s="13" t="s">
        <x:v>78</x:v>
      </x:c>
      <x:c r="B13" s="13" t="s">
        <x:v>64</x:v>
      </x:c>
      <x:c r="C13" s="14">
        <x:v>46661.0</x:v>
      </x:c>
      <x:c r="D13" s="13" t="s">
        <x:v>79</x:v>
      </x:c>
      <x:c r="E13" s="13" t="s">
        <x:v>20</x:v>
      </x:c>
      <x:c r="F13" s="13" t="s">
        <x:v>80</x:v>
      </x:c>
      <x:c r="G13" s="13" t="s">
        <x:v>81</x:v>
      </x:c>
      <x:c r="H13" s="15">
        <x:v>46691.0</x:v>
      </x:c>
      <x:c r="I13" s="13" t="s">
        <x:v>55</x:v>
      </x:c>
      <x:c r="J13" s="13" t="s">
        <x:v>61</x:v>
      </x:c>
      <x:c r="K13" s="13" t="s">
        <x:v>34</x:v>
      </x:c>
      <x:c r="L13" s="16">
        <x:v>0.0</x:v>
      </x:c>
      <x:c r="M13" s="17">
        <x:v>5.0</x:v>
      </x:c>
      <x:c r="N13" s="13" t="s">
        <x:v>82</x:v>
      </x:c>
      <x:c r="O13" s="18"/>
      <x:c r="P13" s="18"/>
      <x:c r="Q13" s="19" t="s">
        <x:v>41</x:v>
      </x:c>
    </x:row>
    <x:row r="14">
      <x:c r="A14" s="5" t="s">
        <x:v>83</x:v>
      </x:c>
      <x:c r="B14" s="5" t="s">
        <x:v>64</x:v>
      </x:c>
      <x:c r="C14" s="6">
        <x:v>46692.0</x:v>
      </x:c>
      <x:c r="D14" s="5" t="s">
        <x:v>79</x:v>
      </x:c>
      <x:c r="E14" s="5" t="s">
        <x:v>20</x:v>
      </x:c>
      <x:c r="F14" s="5" t="s">
        <x:v>84</x:v>
      </x:c>
      <x:c r="G14" s="5" t="s">
        <x:v>85</x:v>
      </x:c>
      <x:c r="H14" s="7">
        <x:v>46721.0</x:v>
      </x:c>
      <x:c r="I14" s="5" t="s">
        <x:v>55</x:v>
      </x:c>
      <x:c r="J14" s="5" t="s">
        <x:v>24</x:v>
      </x:c>
      <x:c r="K14" s="5" t="s">
        <x:v>34</x:v>
      </x:c>
      <x:c r="L14" s="9">
        <x:v>0.0</x:v>
      </x:c>
      <x:c r="M14" s="10">
        <x:v>5.0</x:v>
      </x:c>
      <x:c r="N14" s="5" t="s">
        <x:v>86</x:v>
      </x:c>
      <x:c r="O14" s="11"/>
      <x:c r="P14" s="11"/>
      <x:c r="Q14" s="20" t="s">
        <x:v>41</x:v>
      </x:c>
    </x:row>
    <x:row r="15">
      <x:c r="A15" s="13" t="s">
        <x:v>87</x:v>
      </x:c>
      <x:c r="B15" s="13" t="s">
        <x:v>64</x:v>
      </x:c>
      <x:c r="C15" s="14">
        <x:v>46722.0</x:v>
      </x:c>
      <x:c r="D15" s="13" t="s">
        <x:v>43</x:v>
      </x:c>
      <x:c r="E15" s="13" t="s">
        <x:v>20</x:v>
      </x:c>
      <x:c r="F15" s="13" t="s">
        <x:v>88</x:v>
      </x:c>
      <x:c r="G15" s="13" t="s">
        <x:v>89</x:v>
      </x:c>
      <x:c r="H15" s="15">
        <x:v>46752.0</x:v>
      </x:c>
      <x:c r="I15" s="13" t="s">
        <x:v>55</x:v>
      </x:c>
      <x:c r="J15" s="13" t="s">
        <x:v>24</x:v>
      </x:c>
      <x:c r="K15" s="13" t="s">
        <x:v>34</x:v>
      </x:c>
      <x:c r="L15" s="16">
        <x:v>0.0</x:v>
      </x:c>
      <x:c r="M15" s="17">
        <x:v>4.0</x:v>
      </x:c>
      <x:c r="N15" s="13" t="s">
        <x:v>90</x:v>
      </x:c>
      <x:c r="O15" s="18"/>
      <x:c r="P15" s="18"/>
      <x:c r="Q15" s="19" t="s">
        <x:v>41</x:v>
      </x:c>
    </x:row>
    <x:row r="16">
      <x:c r="A16" s="5" t="s">
        <x:v>91</x:v>
      </x:c>
      <x:c r="B16" s="5" t="s">
        <x:v>64</x:v>
      </x:c>
      <x:c r="C16" s="6">
        <x:v>46784.0</x:v>
      </x:c>
      <x:c r="D16" s="5" t="s">
        <x:v>92</x:v>
      </x:c>
      <x:c r="E16" s="5" t="s">
        <x:v>20</x:v>
      </x:c>
      <x:c r="F16" s="5" t="s">
        <x:v>93</x:v>
      </x:c>
      <x:c r="G16" s="5" t="s">
        <x:v>94</x:v>
      </x:c>
      <x:c r="H16" s="7">
        <x:v>46812.0</x:v>
      </x:c>
      <x:c r="I16" s="5" t="s">
        <x:v>55</x:v>
      </x:c>
      <x:c r="J16" s="5" t="s">
        <x:v>24</x:v>
      </x:c>
      <x:c r="K16" s="5" t="s">
        <x:v>34</x:v>
      </x:c>
      <x:c r="L16" s="9">
        <x:v>0.0</x:v>
      </x:c>
      <x:c r="M16" s="10">
        <x:v>7.0</x:v>
      </x:c>
      <x:c r="N16" s="5" t="s">
        <x:v>95</x:v>
      </x:c>
      <x:c r="O16" s="11"/>
      <x:c r="P16" s="11"/>
      <x:c r="Q16" s="20" t="s">
        <x:v>41</x:v>
      </x:c>
    </x:row>
    <x:row r="17">
      <x:c r="A17" s="13" t="s">
        <x:v>96</x:v>
      </x:c>
      <x:c r="B17" s="13" t="s">
        <x:v>64</x:v>
      </x:c>
      <x:c r="C17" s="14">
        <x:v>46813.0</x:v>
      </x:c>
      <x:c r="D17" s="13" t="s">
        <x:v>97</x:v>
      </x:c>
      <x:c r="E17" s="13" t="s">
        <x:v>20</x:v>
      </x:c>
      <x:c r="F17" s="13" t="s">
        <x:v>98</x:v>
      </x:c>
      <x:c r="G17" s="13" t="s">
        <x:v>99</x:v>
      </x:c>
      <x:c r="H17" s="15">
        <x:v>46843.0</x:v>
      </x:c>
      <x:c r="I17" s="13" t="s">
        <x:v>23</x:v>
      </x:c>
      <x:c r="J17" s="13" t="s">
        <x:v>24</x:v>
      </x:c>
      <x:c r="K17" s="13" t="s">
        <x:v>34</x:v>
      </x:c>
      <x:c r="L17" s="16">
        <x:v>0.0</x:v>
      </x:c>
      <x:c r="M17" s="17">
        <x:v>10.0</x:v>
      </x:c>
      <x:c r="N17" s="13" t="s">
        <x:v>100</x:v>
      </x:c>
      <x:c r="O17" s="18"/>
      <x:c r="P17" s="18"/>
      <x:c r="Q17" s="19" t="s">
        <x:v>41</x:v>
      </x:c>
    </x:row>
    <x:row r="18">
      <x:c r="A18" s="13"/>
      <x:c r="B18" s="13"/>
      <x:c r="C18" s="17"/>
      <x:c r="D18" s="13"/>
      <x:c r="E18" s="13"/>
      <x:c r="F18" s="13"/>
      <x:c r="G18" s="13"/>
      <x:c r="H18" s="17"/>
      <x:c r="I18" s="13"/>
      <x:c r="J18" s="13"/>
      <x:c r="K18" s="13"/>
      <x:c r="L18" s="17"/>
      <x:c r="M18" s="17"/>
      <x:c r="N18" s="13"/>
      <x:c r="O18" s="18"/>
      <x:c r="P18" s="18"/>
      <x:c r="Q18" s="19" t="s">
        <x:v>41</x:v>
      </x:c>
    </x:row>
    <x:row r="19">
      <x:c r="A19" s="13"/>
      <x:c r="B19" s="13"/>
      <x:c r="C19" s="17"/>
      <x:c r="D19" s="13"/>
      <x:c r="E19" s="13"/>
      <x:c r="F19" s="13"/>
      <x:c r="G19" s="13"/>
      <x:c r="H19" s="17"/>
      <x:c r="I19" s="13"/>
      <x:c r="J19" s="13"/>
      <x:c r="K19" s="13"/>
      <x:c r="L19" s="17"/>
      <x:c r="M19" s="17"/>
      <x:c r="N19" s="13"/>
      <x:c r="O19" s="18"/>
      <x:c r="P19" s="18"/>
      <x:c r="Q19" s="19" t="s">
        <x:v>41</x:v>
      </x:c>
    </x:row>
    <x:row r="20">
      <x:c r="A20" s="13"/>
      <x:c r="B20" s="13"/>
      <x:c r="C20" s="17"/>
      <x:c r="D20" s="13"/>
      <x:c r="E20" s="13"/>
      <x:c r="F20" s="13"/>
      <x:c r="G20" s="13"/>
      <x:c r="H20" s="17"/>
      <x:c r="I20" s="13"/>
      <x:c r="J20" s="13"/>
      <x:c r="K20" s="13"/>
      <x:c r="L20" s="17"/>
      <x:c r="M20" s="17"/>
      <x:c r="N20" s="13"/>
      <x:c r="O20" s="18"/>
      <x:c r="P20" s="18"/>
      <x:c r="Q20" s="19" t="s">
        <x:v>41</x:v>
      </x:c>
    </x:row>
  </x:sheetData>
  <x:dataValidations count="4">
    <x:dataValidation type="list" allowBlank="1" sqref="K2:K17">
      <x:formula1>"Planned,In Progress,Blocked,Complete,Deferred,Dropped,Needs Review"</x:formula1>
    </x:dataValidation>
    <x:dataValidation type="list" allowBlank="1" sqref="I2:I17">
      <x:formula1>"Core,Support,Optional"</x:formula1>
    </x:dataValidation>
    <x:dataValidation type="decimal" allowBlank="1" sqref="L2:L17">
      <x:formula1>0.0</x:formula1>
      <x:formula2>1.0</x:formula2>
    </x:dataValidation>
    <x:dataValidation type="list" allowBlank="1" sqref="J2:J17">
      <x:formula1>"High,Medium,Low"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d048741ef78462a"/>
    <x:tablePart xmlns:r="http://schemas.openxmlformats.org/officeDocument/2006/relationships" r:id="Raeed95ca78d040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3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  <x:col min="9" max="9" width="16" hidden="0" customWidth="1"/>
    <x:col min="10" max="10" width="52" hidden="0" customWidth="1"/>
    <x:col min="11" max="11" width="46" hidden="0" customWidth="1"/>
  </x:cols>
  <x:sheetData>
    <x:row r="1" ht="36" customHeight="1">
      <x:c r="A1" s="33" t="str">
        <x:v>ID</x:v>
      </x:c>
      <x:c r="B1" s="34" t="str">
        <x:v>Milestone</x:v>
      </x:c>
      <x:c r="C1" s="34" t="str">
        <x:v>Month</x:v>
      </x:c>
      <x:c r="D1" s="34" t="str">
        <x:v>Work Type</x:v>
      </x:c>
      <x:c r="E1" s="34" t="str">
        <x:v>Codex Readiness</x:v>
      </x:c>
      <x:c r="F1" s="34" t="str">
        <x:v>Roadmap Status</x:v>
      </x:c>
      <x:c r="G1" s="34" t="str">
        <x:v>Agent Status</x:v>
      </x:c>
      <x:c r="H1" s="34" t="str">
        <x:v>Human Gate / Required Input</x:v>
      </x:c>
      <x:c r="I1" s="34" t="str">
        <x:v>Last Verified</x:v>
      </x:c>
      <x:c r="J1" s="34" t="str">
        <x:v>Verification Evidence</x:v>
      </x:c>
      <x:c r="K1" s="35" t="str">
        <x:v>Next Action</x:v>
      </x:c>
    </x:row>
    <x:row r="2" ht="72" customHeight="1">
      <x:c r="A2" s="41" t="str">
        <x:f>'Sheet1'!A2</x:f>
        <x:v>M009</x:v>
      </x:c>
      <x:c r="B2" s="41" t="str">
        <x:f>'Sheet1'!F2</x:f>
        <x:v>Build chunking, metadata, embedding, and indexing</x:v>
      </x:c>
      <x:c r="C2" s="43" t="n">
        <x:f>'Sheet1'!C2</x:f>
        <x:v>46235</x:v>
      </x:c>
      <x:c r="D2" s="41" t="str">
        <x:v>Engineering</x:v>
      </x:c>
      <x:c r="E2" s="41" t="str">
        <x:v>Complete</x:v>
      </x:c>
      <x:c r="F2" s="41" t="str">
        <x:f>'Sheet1'!K2</x:f>
        <x:v>Complete</x:v>
      </x:c>
      <x:c r="G2" s="41" t="str">
        <x:v>Verified</x:v>
      </x:c>
      <x:c r="H2" s="41" t="str">
        <x:v>M013 transition approved and completed.</x:v>
      </x:c>
      <x:c r="I2" s="45" t="n">
        <x:v>46255</x:v>
      </x:c>
      <x:c r="J2" s="41" t="str">
        <x:v>38 tests passed; synthetic index created 3 chunks; query returned date/source/title/chunk; unchanged re-index skipped 3/3; commit 4e512f2.</x:v>
      </x:c>
      <x:c r="K2" s="41" t="str">
        <x:v>Completed; retained as M013 prerequisite evidence.</x:v>
      </x:c>
    </x:row>
    <x:row r="3" ht="72" customHeight="1">
      <x:c r="A3" s="42" t="str">
        <x:f>'Sheet1'!A3</x:f>
        <x:v>M013</x:v>
      </x:c>
      <x:c r="B3" s="42" t="str">
        <x:f>'Sheet1'!F3</x:f>
        <x:v>Deliver natural-language retrieval with citations</x:v>
      </x:c>
      <x:c r="C3" s="44" t="n">
        <x:f>'Sheet1'!C3</x:f>
        <x:v>46266</x:v>
      </x:c>
      <x:c r="D3" s="42" t="str">
        <x:v>Engineering</x:v>
      </x:c>
      <x:c r="E3" s="42" t="str">
        <x:v>Complete</x:v>
      </x:c>
      <x:c r="F3" s="42" t="str">
        <x:f>'Sheet1'!K3</x:f>
        <x:v>Complete</x:v>
      </x:c>
      <x:c r="G3" s="42" t="str">
        <x:v>Verified</x:v>
      </x:c>
      <x:c r="H3" s="42" t="str">
        <x:v>Approve transition to M018 and provide five private questions for local-only scoring; do not place private content in this workbook.</x:v>
      </x:c>
      <x:c r="I3" s="46" t="n">
        <x:v>46255</x:v>
      </x:c>
      <x:c r="J3" s="42" t="str">
        <x:v>47 tests passed; natural-language CLI returned only the cited library passage; unrelated hash-collision candidates were filtered; a zero-evidence query returned no passage.</x:v>
      </x:c>
      <x:c r="K3" s="42" t="str">
        <x:v>Prepare a privacy-safe offline five-question retrieval scoring harness after approval.</x:v>
      </x:c>
    </x:row>
    <x:row r="4" ht="72" customHeight="1">
      <x:c r="A4" s="42" t="str">
        <x:f>'Sheet1'!A4</x:f>
        <x:v>M018</x:v>
      </x:c>
      <x:c r="B4" s="42" t="str">
        <x:f>'Sheet1'!F4</x:f>
        <x:v>Pass the five-question retrieval test</x:v>
      </x:c>
      <x:c r="C4" s="44" t="n">
        <x:f>'Sheet1'!C4</x:f>
        <x:v>46296</x:v>
      </x:c>
      <x:c r="D4" s="42" t="str">
        <x:v>Evaluation + human evidence</x:v>
      </x:c>
      <x:c r="E4" s="42" t="str">
        <x:v>Blocked</x:v>
      </x:c>
      <x:c r="F4" s="42" t="str">
        <x:f>'Sheet1'!K4</x:f>
        <x:v>Planned</x:v>
      </x:c>
      <x:c r="G4" s="42" t="str">
        <x:v>Awaiting Input</x:v>
      </x:c>
      <x:c r="H4" s="42" t="str">
        <x:v>Provide five private questions and score results locally; do not place private content in this workbook.</x:v>
      </x:c>
      <x:c r="I4" s="46"/>
      <x:c r="J4" s="42" t="str"/>
      <x:c r="K4" s="42" t="str">
        <x:v>Provide five private questions locally; then run the privacy-safe offline scoring harness.</x:v>
      </x:c>
    </x:row>
    <x:row r="5" ht="72" customHeight="1">
      <x:c r="A5" s="42" t="str">
        <x:f>'Sheet1'!A5</x:f>
        <x:v>M021</x:v>
      </x:c>
      <x:c r="B5" s="42" t="str">
        <x:f>'Sheet1'!F5</x:f>
        <x:v>Stabilize MVP v0.1</x:v>
      </x:c>
      <x:c r="C5" s="44" t="n">
        <x:f>'Sheet1'!C5</x:f>
        <x:v>46327</x:v>
      </x:c>
      <x:c r="D5" s="42" t="str">
        <x:v>Engineering + adoption</x:v>
      </x:c>
      <x:c r="E5" s="42" t="str">
        <x:v>Blocked</x:v>
      </x:c>
      <x:c r="F5" s="42" t="str">
        <x:f>'Sheet1'!K5</x:f>
        <x:v>Planned</x:v>
      </x:c>
      <x:c r="G5" s="42" t="str">
        <x:v>Not Started</x:v>
      </x:c>
      <x:c r="H5" s="42" t="str">
        <x:v>Confirm repeated-use usefulness after the five-question findings.</x:v>
      </x:c>
      <x:c r="I5" s="46"/>
      <x:c r="J5" s="42" t="str"/>
      <x:c r="K5" s="42" t="str">
        <x:v>Use M018 findings to define stabilization work.</x:v>
      </x:c>
    </x:row>
    <x:row r="6" ht="72" customHeight="1">
      <x:c r="A6" s="42" t="str">
        <x:f>'Sheet1'!A6</x:f>
        <x:v>M026</x:v>
      </x:c>
      <x:c r="B6" s="42" t="str">
        <x:f>'Sheet1'!F6</x:f>
        <x:v>Automate updates and document backups</x:v>
      </x:c>
      <x:c r="C6" s="44" t="n">
        <x:f>'Sheet1'!C6</x:f>
        <x:v>46357</x:v>
      </x:c>
      <x:c r="D6" s="42" t="str">
        <x:v>Engineering + operations</x:v>
      </x:c>
      <x:c r="E6" s="42" t="str">
        <x:v>Blocked</x:v>
      </x:c>
      <x:c r="F6" s="42" t="str">
        <x:f>'Sheet1'!K6</x:f>
        <x:v>Planned</x:v>
      </x:c>
      <x:c r="G6" s="42" t="str">
        <x:v>Not Started</x:v>
      </x:c>
      <x:c r="H6" s="42" t="str">
        <x:v>Approve backup location and recovery expectations.</x:v>
      </x:c>
      <x:c r="I6" s="46"/>
      <x:c r="J6" s="42" t="str"/>
      <x:c r="K6" s="42" t="str">
        <x:v>Wait for stable MVP v0.1; then design a repeatable update and backup workflow.</x:v>
      </x:c>
    </x:row>
    <x:row r="7" ht="72" customHeight="1">
      <x:c r="A7" s="42" t="str">
        <x:f>'Sheet1'!A7</x:f>
        <x:v>M030</x:v>
      </x:c>
      <x:c r="B7" s="42" t="str">
        <x:f>'Sheet1'!F7</x:f>
        <x:v>Log usage and identify the top failure modes</x:v>
      </x:c>
      <x:c r="C7" s="44" t="n">
        <x:f>'Sheet1'!C7</x:f>
        <x:v>46388</x:v>
      </x:c>
      <x:c r="D7" s="42" t="str">
        <x:v>Human evidence</x:v>
      </x:c>
      <x:c r="E7" s="42" t="str">
        <x:v>Time-gated</x:v>
      </x:c>
      <x:c r="F7" s="42" t="str">
        <x:f>'Sheet1'!K7</x:f>
        <x:v>Planned</x:v>
      </x:c>
      <x:c r="G7" s="42" t="str">
        <x:v>Not Started</x:v>
      </x:c>
      <x:c r="H7" s="42" t="str">
        <x:v>Complete at least ten real uses and record only non-sensitive failure categories.</x:v>
      </x:c>
      <x:c r="I7" s="46"/>
      <x:c r="J7" s="42" t="str"/>
      <x:c r="K7" s="42" t="str">
        <x:v>Collect real usage before prioritizing failure modes.</x:v>
      </x:c>
    </x:row>
    <x:row r="8" ht="72" customHeight="1">
      <x:c r="A8" s="42" t="str">
        <x:f>'Sheet1'!A8</x:f>
        <x:v>M035</x:v>
      </x:c>
      <x:c r="B8" s="42" t="str">
        <x:f>'Sheet1'!F8</x:f>
        <x:v>Ship v0.2 fixes</x:v>
      </x:c>
      <x:c r="C8" s="44" t="n">
        <x:f>'Sheet1'!C8</x:f>
        <x:v>46419</x:v>
      </x:c>
      <x:c r="D8" s="42" t="str">
        <x:v>Engineering</x:v>
      </x:c>
      <x:c r="E8" s="42" t="str">
        <x:v>Blocked</x:v>
      </x:c>
      <x:c r="F8" s="42" t="str">
        <x:f>'Sheet1'!K8</x:f>
        <x:v>Planned</x:v>
      </x:c>
      <x:c r="G8" s="42" t="str">
        <x:v>Not Started</x:v>
      </x:c>
      <x:c r="H8" s="42" t="str">
        <x:v>Approve the failure-mode priorities before fixes.</x:v>
      </x:c>
      <x:c r="I8" s="46"/>
      <x:c r="J8" s="42" t="str"/>
      <x:c r="K8" s="42" t="str">
        <x:v>Implement and retest only the prioritized failures.</x:v>
      </x:c>
    </x:row>
    <x:row r="9" ht="72" customHeight="1">
      <x:c r="A9" s="42" t="str">
        <x:f>'Sheet1'!A9</x:f>
        <x:v>M047</x:v>
      </x:c>
      <x:c r="B9" s="42" t="str">
        <x:f>'Sheet1'!F9</x:f>
        <x:v>Make the local-hardware decision gate</x:v>
      </x:c>
      <x:c r="C9" s="44" t="n">
        <x:f>'Sheet1'!C9</x:f>
        <x:v>46508</x:v>
      </x:c>
      <x:c r="D9" s="42" t="str">
        <x:v>Decision</x:v>
      </x:c>
      <x:c r="E9" s="42" t="str">
        <x:v>Time-gated</x:v>
      </x:c>
      <x:c r="F9" s="42" t="str">
        <x:f>'Sheet1'!K9</x:f>
        <x:v>Planned</x:v>
      </x:c>
      <x:c r="G9" s="42" t="str">
        <x:v>Not Started</x:v>
      </x:c>
      <x:c r="H9" s="42" t="str">
        <x:v>Review actual usage and current hardware/pricing at the decision date.</x:v>
      </x:c>
      <x:c r="I9" s="46"/>
      <x:c r="J9" s="42" t="str"/>
      <x:c r="K9" s="42" t="str">
        <x:v>Reassess at the scheduled gate using current evidence.</x:v>
      </x:c>
    </x:row>
    <x:row r="10" ht="72" customHeight="1">
      <x:c r="A10" s="42" t="str">
        <x:f>'Sheet1'!A10</x:f>
        <x:v>M051</x:v>
      </x:c>
      <x:c r="B10" s="42" t="str">
        <x:f>'Sheet1'!F10</x:f>
        <x:v>Document architecture v1 and the media roadmap</x:v>
      </x:c>
      <x:c r="C10" s="44" t="n">
        <x:f>'Sheet1'!C10</x:f>
        <x:v>46539</x:v>
      </x:c>
      <x:c r="D10" s="42" t="str">
        <x:v>Documentation</x:v>
      </x:c>
      <x:c r="E10" s="42" t="str">
        <x:v>Blocked</x:v>
      </x:c>
      <x:c r="F10" s="42" t="str">
        <x:f>'Sheet1'!K10</x:f>
        <x:v>Planned</x:v>
      </x:c>
      <x:c r="G10" s="42" t="str">
        <x:v>Not Started</x:v>
      </x:c>
      <x:c r="H10" s="42" t="str">
        <x:v>Confirm the journal MVP is stable and regularly used.</x:v>
      </x:c>
      <x:c r="I10" s="46"/>
      <x:c r="J10" s="42" t="str"/>
      <x:c r="K10" s="42" t="str">
        <x:v>Document architecture and sequence the media roadmap.</x:v>
      </x:c>
    </x:row>
    <x:row r="11" ht="72" customHeight="1">
      <x:c r="A11" s="42" t="str">
        <x:f>'Sheet1'!A11</x:f>
        <x:v>M054</x:v>
      </x:c>
      <x:c r="B11" s="42" t="str">
        <x:f>'Sheet1'!F11</x:f>
        <x:v>Prototype dated-media metadata ingestion</x:v>
      </x:c>
      <x:c r="C11" s="44" t="n">
        <x:f>'Sheet1'!C11</x:f>
        <x:v>46569</x:v>
      </x:c>
      <x:c r="D11" s="42" t="str">
        <x:v>Engineering + private media</x:v>
      </x:c>
      <x:c r="E11" s="42" t="str">
        <x:v>Time-gated</x:v>
      </x:c>
      <x:c r="F11" s="42" t="str">
        <x:f>'Sheet1'!K11</x:f>
        <x:v>Planned</x:v>
      </x:c>
      <x:c r="G11" s="42" t="str">
        <x:v>Not Started</x:v>
      </x:c>
      <x:c r="H11" s="42" t="str">
        <x:v>Confirm regular use and select a privacy-safe media sample/procedure.</x:v>
      </x:c>
      <x:c r="I11" s="46"/>
      <x:c r="J11" s="42" t="str"/>
      <x:c r="K11" s="42" t="str">
        <x:v>Proceed only after the regular-use gate is satisfied.</x:v>
      </x:c>
    </x:row>
    <x:row r="12" ht="72" customHeight="1">
      <x:c r="A12" s="42" t="str">
        <x:f>'Sheet1'!A12</x:f>
        <x:v>M059</x:v>
      </x:c>
      <x:c r="B12" s="42" t="str">
        <x:f>'Sheet1'!F12</x:f>
        <x:v>Run a backup-and-restore test</x:v>
      </x:c>
      <x:c r="C12" s="44" t="n">
        <x:f>'Sheet1'!C12</x:f>
        <x:v>46600</x:v>
      </x:c>
      <x:c r="D12" s="42" t="str">
        <x:v>Operations</x:v>
      </x:c>
      <x:c r="E12" s="42" t="str">
        <x:v>Blocked</x:v>
      </x:c>
      <x:c r="F12" s="42" t="str">
        <x:f>'Sheet1'!K12</x:f>
        <x:v>Planned</x:v>
      </x:c>
      <x:c r="G12" s="42" t="str">
        <x:v>Not Started</x:v>
      </x:c>
      <x:c r="H12" s="42" t="str">
        <x:v>Approve a recoverable backup-and-restore rehearsal.</x:v>
      </x:c>
      <x:c r="I12" s="46"/>
      <x:c r="J12" s="42" t="str"/>
      <x:c r="K12" s="42" t="str">
        <x:v>Run a clean, recoverable restore test after documentation exists.</x:v>
      </x:c>
    </x:row>
    <x:row r="13" ht="72" customHeight="1">
      <x:c r="A13" s="42" t="str">
        <x:f>'Sheet1'!A13</x:f>
        <x:v>M067</x:v>
      </x:c>
      <x:c r="B13" s="42" t="str">
        <x:f>'Sheet1'!F13</x:f>
        <x:v>Create the local deployment plan and budget</x:v>
      </x:c>
      <x:c r="C13" s="44" t="n">
        <x:f>'Sheet1'!C13</x:f>
        <x:v>46661</x:v>
      </x:c>
      <x:c r="D13" s="42" t="str">
        <x:v>Decision + documentation</x:v>
      </x:c>
      <x:c r="E13" s="42" t="str">
        <x:v>Time-gated</x:v>
      </x:c>
      <x:c r="F13" s="42" t="str">
        <x:f>'Sheet1'!K13</x:f>
        <x:v>Planned</x:v>
      </x:c>
      <x:c r="G13" s="42" t="str">
        <x:v>Not Started</x:v>
      </x:c>
      <x:c r="H13" s="42" t="str">
        <x:v>Supply current hardware constraints and budget preferences.</x:v>
      </x:c>
      <x:c r="I13" s="46"/>
      <x:c r="J13" s="42" t="str"/>
      <x:c r="K13" s="42" t="str">
        <x:v>Prepare the plan with current usage and hardware facts.</x:v>
      </x:c>
    </x:row>
    <x:row r="14" ht="72" customHeight="1">
      <x:c r="A14" s="42" t="str">
        <x:f>'Sheet1'!A14</x:f>
        <x:v>M072</x:v>
      </x:c>
      <x:c r="B14" s="42" t="str">
        <x:f>'Sheet1'!F14</x:f>
        <x:v>Complete a privacy and security review</x:v>
      </x:c>
      <x:c r="C14" s="44" t="n">
        <x:f>'Sheet1'!C14</x:f>
        <x:v>46692</x:v>
      </x:c>
      <x:c r="D14" s="42" t="str">
        <x:v>Security review</x:v>
      </x:c>
      <x:c r="E14" s="42" t="str">
        <x:v>Blocked</x:v>
      </x:c>
      <x:c r="F14" s="42" t="str">
        <x:f>'Sheet1'!K14</x:f>
        <x:v>Planned</x:v>
      </x:c>
      <x:c r="G14" s="42" t="str">
        <x:v>Not Started</x:v>
      </x:c>
      <x:c r="H14" s="42" t="str">
        <x:v>Review threats, access controls, backup exposure, and deletion choices.</x:v>
      </x:c>
      <x:c r="I14" s="46"/>
      <x:c r="J14" s="42" t="str"/>
      <x:c r="K14" s="42" t="str">
        <x:v>Review security after the deployment plan exists.</x:v>
      </x:c>
    </x:row>
    <x:row r="15" ht="72" customHeight="1">
      <x:c r="A15" s="42" t="str">
        <x:f>'Sheet1'!A15</x:f>
        <x:v>M076</x:v>
      </x:c>
      <x:c r="B15" s="42" t="str">
        <x:f>'Sheet1'!F15</x:f>
        <x:v>Generate a year-in-review query report</x:v>
      </x:c>
      <x:c r="C15" s="44" t="n">
        <x:f>'Sheet1'!C15</x:f>
        <x:v>46722</x:v>
      </x:c>
      <x:c r="D15" s="42" t="str">
        <x:v>Human evidence</x:v>
      </x:c>
      <x:c r="E15" s="42" t="str">
        <x:v>Time-gated</x:v>
      </x:c>
      <x:c r="F15" s="42" t="str">
        <x:f>'Sheet1'!K15</x:f>
        <x:v>Planned</x:v>
      </x:c>
      <x:c r="G15" s="42" t="str">
        <x:v>Not Started</x:v>
      </x:c>
      <x:c r="H15" s="42" t="str">
        <x:v>Run the defined year-review questions locally after a full year of usable data.</x:v>
      </x:c>
      <x:c r="I15" s="46"/>
      <x:c r="J15" s="42" t="str"/>
      <x:c r="K15" s="42" t="str">
        <x:v>Wait for a full year of usable data.</x:v>
      </x:c>
    </x:row>
    <x:row r="16" ht="72" customHeight="1">
      <x:c r="A16" s="42" t="str">
        <x:f>'Sheet1'!A16</x:f>
        <x:v>M084</x:v>
      </x:c>
      <x:c r="B16" s="42" t="str">
        <x:f>'Sheet1'!F16</x:f>
        <x:v>Run the deployment rehearsal</x:v>
      </x:c>
      <x:c r="C16" s="44" t="n">
        <x:f>'Sheet1'!C16</x:f>
        <x:v>46784</x:v>
      </x:c>
      <x:c r="D16" s="42" t="str">
        <x:v>Operations</x:v>
      </x:c>
      <x:c r="E16" s="42" t="str">
        <x:v>Blocked</x:v>
      </x:c>
      <x:c r="F16" s="42" t="str">
        <x:f>'Sheet1'!K16</x:f>
        <x:v>Planned</x:v>
      </x:c>
      <x:c r="G16" s="42" t="str">
        <x:v>Not Started</x:v>
      </x:c>
      <x:c r="H16" s="42" t="str">
        <x:v>Approve the target machine and clean-rehearsal conditions.</x:v>
      </x:c>
      <x:c r="I16" s="46"/>
      <x:c r="J16" s="42" t="str"/>
      <x:c r="K16" s="42" t="str">
        <x:v>Rehearse only after deployment and security gates pass.</x:v>
      </x:c>
    </x:row>
    <x:row r="17" ht="72" customHeight="1">
      <x:c r="A17" s="42" t="str">
        <x:f>'Sheet1'!A17</x:f>
        <x:v>M086</x:v>
      </x:c>
      <x:c r="B17" s="42" t="str">
        <x:f>'Sheet1'!F17</x:f>
        <x:v>Release stable local v1</x:v>
      </x:c>
      <x:c r="C17" s="44" t="n">
        <x:f>'Sheet1'!C17</x:f>
        <x:v>46813</x:v>
      </x:c>
      <x:c r="D17" s="42" t="str">
        <x:v>Release</x:v>
      </x:c>
      <x:c r="E17" s="42" t="str">
        <x:v>Blocked</x:v>
      </x:c>
      <x:c r="F17" s="42" t="str">
        <x:f>'Sheet1'!K17</x:f>
        <x:v>Planned</x:v>
      </x:c>
      <x:c r="G17" s="42" t="str">
        <x:v>Not Started</x:v>
      </x:c>
      <x:c r="H17" s="42" t="str">
        <x:v>Approve release after rehearsal and final acceptance review.</x:v>
      </x:c>
      <x:c r="I17" s="46"/>
      <x:c r="J17" s="42" t="str"/>
      <x:c r="K17" s="42" t="str">
        <x:v>Release only after the rehearsal passes.</x:v>
      </x:c>
    </x:row>
  </x:sheetData>
  <x:conditionalFormatting sqref="E2:G17">
    <x:cfRule type="containsText" dxfId="4" priority="1" operator="containsText" text="Complete"/>
    <x:cfRule type="containsText" dxfId="5" priority="2" operator="containsText" text="Verified"/>
    <x:cfRule type="containsText" dxfId="6" priority="3" operator="containsText" text="Blocked"/>
    <x:cfRule type="containsText" dxfId="7" priority="4" operator="containsText" text="Time-gated"/>
  </x:conditionalFormatting>
  <x:dataValidations count="2">
    <x:dataValidation type="list" sqref="E2:E17">
      <x:formula1>"Ready,Blocked,Time-gated,Complete"</x:formula1>
    </x:dataValidation>
    <x:dataValidation type="list" sqref="G2:G17">
      <x:formula1>"Not Started,Ready,Blocked,In Progress,Verified"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a4ded5ddc047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24" hidden="0" customWidth="1"/>
    <x:col min="5" max="5" width="24" hidden="0" customWidth="1"/>
    <x:col min="6" max="6" width="58" hidden="0" customWidth="1"/>
    <x:col min="7" max="7" width="14" hidden="0" customWidth="1"/>
  </x:cols>
  <x:sheetData>
    <x:row r="1" ht="36" customHeight="1">
      <x:c r="A1" s="33" t="str">
        <x:v>Updated At</x:v>
      </x:c>
      <x:c r="B1" s="34" t="str">
        <x:v>Milestone ID</x:v>
      </x:c>
      <x:c r="C1" s="34" t="str">
        <x:v>Field</x:v>
      </x:c>
      <x:c r="D1" s="34" t="str">
        <x:v>Before</x:v>
      </x:c>
      <x:c r="E1" s="34" t="str">
        <x:v>After</x:v>
      </x:c>
      <x:c r="F1" s="34" t="str">
        <x:v>Evidence / Reason</x:v>
      </x:c>
      <x:c r="G1" s="35" t="str">
        <x:v>Updated By</x:v>
      </x:c>
    </x:row>
    <x:row r="2" ht="52" customHeight="1">
      <x:c r="A2" s="45" t="n">
        <x:v>46255</x:v>
      </x:c>
      <x:c r="B2" s="41" t="str">
        <x:v>WORKBOOK</x:v>
      </x:c>
      <x:c r="C2" s="41" t="str">
        <x:v>Maintenance setup</x:v>
      </x:c>
      <x:c r="D2" s="41" t="str">
        <x:v>Single roadmap sheet</x:v>
      </x:c>
      <x:c r="E2" s="41" t="str">
        <x:v>Added Codex Execution and Update Log</x:v>
      </x:c>
      <x:c r="F2" s="41" t="str">
        <x:v>User requested a maintained project copy.</x:v>
      </x:c>
      <x:c r="G2" s="41" t="str">
        <x:v>Codex</x:v>
      </x:c>
    </x:row>
    <x:row r="3" ht="52" customHeight="1">
      <x:c r="A3" s="46" t="n">
        <x:v>46255</x:v>
      </x:c>
      <x:c r="B3" s="42" t="str">
        <x:v>M009</x:v>
      </x:c>
      <x:c r="C3" s="42" t="str">
        <x:v>Status</x:v>
      </x:c>
      <x:c r="D3" s="42" t="str">
        <x:v>In Progress</x:v>
      </x:c>
      <x:c r="E3" s="42" t="str">
        <x:v>Complete</x:v>
      </x:c>
      <x:c r="F3" s="42" t="str">
        <x:v>Definition of done verified against code, tests, and synthetic CLI checks.</x:v>
      </x:c>
      <x:c r="G3" s="42" t="str">
        <x:v>Codex</x:v>
      </x:c>
    </x:row>
    <x:row r="4" ht="52" customHeight="1">
      <x:c r="A4" s="46" t="n">
        <x:v>46255</x:v>
      </x:c>
      <x:c r="B4" s="42" t="str">
        <x:v>M009</x:v>
      </x:c>
      <x:c r="C4" s="42" t="str">
        <x:v>Progress %</x:v>
      </x:c>
      <x:c r="D4" s="42" t="str">
        <x:v>0%</x:v>
      </x:c>
      <x:c r="E4" s="42" t="str">
        <x:v>100%</x:v>
      </x:c>
      <x:c r="F4" s="42" t="str">
        <x:v>All August acceptance behavior verified.</x:v>
      </x:c>
      <x:c r="G4" s="42" t="str">
        <x:v>Codex</x:v>
      </x:c>
    </x:row>
    <x:row r="5" ht="52" customHeight="1">
      <x:c r="A5" s="46" t="n">
        <x:v>46255</x:v>
      </x:c>
      <x:c r="B5" s="42" t="str">
        <x:v>M009</x:v>
      </x:c>
      <x:c r="C5" s="42" t="str">
        <x:v>Evidence / Link</x:v>
      </x:c>
      <x:c r="D5" s="42" t="str">
        <x:v>Blank</x:v>
      </x:c>
      <x:c r="E5" s="42" t="str">
        <x:v>Verification recorded</x:v>
      </x:c>
      <x:c r="F5" s="42" t="str">
        <x:v>38 tests; index/query metadata; unchanged re-index 3/3 skipped; commit 4e512f2.</x:v>
      </x:c>
      <x:c r="G5" s="42" t="str">
        <x:v>Codex</x:v>
      </x:c>
    </x:row>
    <x:row r="6" ht="52" customHeight="1">
      <x:c r="A6" s="46" t="n">
        <x:v>46255</x:v>
      </x:c>
      <x:c r="B6" s="42" t="str">
        <x:v>M009</x:v>
      </x:c>
      <x:c r="C6" s="42" t="str">
        <x:v>Notes / Revision</x:v>
      </x:c>
      <x:c r="D6" s="42" t="str">
        <x:v>Blank</x:v>
      </x:c>
      <x:c r="E6" s="42" t="str">
        <x:v>Reconciliation note recorded</x:v>
      </x:c>
      <x:c r="F6" s="42" t="str">
        <x:v>Synthetic samples only; no private journal content inspected.</x:v>
      </x:c>
      <x:c r="G6" s="42" t="str">
        <x:v>Codex</x:v>
      </x:c>
    </x:row>
    <x:row r="7" ht="48" customHeight="1">
      <x:c r="A7" s="51" t="n">
        <x:v>46255</x:v>
      </x:c>
      <x:c r="B7" s="50" t="str">
        <x:v>M013</x:v>
      </x:c>
      <x:c r="C7" s="50" t="str">
        <x:v>Status</x:v>
      </x:c>
      <x:c r="D7" s="50" t="str">
        <x:v>Planned</x:v>
      </x:c>
      <x:c r="E7" s="50" t="str">
        <x:v>Complete</x:v>
      </x:c>
      <x:c r="F7" s="50" t="str">
        <x:v>Definition of done verified against code, tests, and synthetic CLI checks.</x:v>
      </x:c>
      <x:c r="G7" s="50" t="str">
        <x:v>Codex</x:v>
      </x:c>
    </x:row>
    <x:row r="8" ht="48" customHeight="1">
      <x:c r="A8" s="52" t="n">
        <x:v>46255</x:v>
      </x:c>
      <x:c r="B8" s="53" t="str">
        <x:v>M013</x:v>
      </x:c>
      <x:c r="C8" s="53" t="str">
        <x:v>Progress %</x:v>
      </x:c>
      <x:c r="D8" s="53" t="str">
        <x:v>0%</x:v>
      </x:c>
      <x:c r="E8" s="53" t="str">
        <x:v>100%</x:v>
      </x:c>
      <x:c r="F8" s="53" t="str">
        <x:v>All cited retrieval and insufficient-evidence behavior verified.</x:v>
      </x:c>
      <x:c r="G8" s="53" t="str">
        <x:v>Codex</x:v>
      </x:c>
    </x:row>
    <x:row r="9" ht="48" customHeight="1">
      <x:c r="A9" s="51" t="n">
        <x:v>46255</x:v>
      </x:c>
      <x:c r="B9" s="50" t="str">
        <x:v>M013</x:v>
      </x:c>
      <x:c r="C9" s="50" t="str">
        <x:v>Evidence / Link</x:v>
      </x:c>
      <x:c r="D9" s="50" t="str">
        <x:v>Blank</x:v>
      </x:c>
      <x:c r="E9" s="50" t="str">
        <x:v>Verification recorded</x:v>
      </x:c>
      <x:c r="F9" s="50" t="str">
        <x:v>47 tests; cited library retrieval; collision candidates filtered; zero-evidence query refused.</x:v>
      </x:c>
      <x:c r="G9" s="50" t="str">
        <x:v>Codex</x:v>
      </x:c>
    </x:row>
    <x:row r="10" ht="48" customHeight="1">
      <x:c r="A10" s="54" t="n">
        <x:v>46255</x:v>
      </x:c>
      <x:c r="B10" s="55" t="str">
        <x:v>M013</x:v>
      </x:c>
      <x:c r="C10" s="55" t="str">
        <x:v>Notes / Revision</x:v>
      </x:c>
      <x:c r="D10" s="55" t="str">
        <x:v>Blank</x:v>
      </x:c>
      <x:c r="E10" s="55" t="str">
        <x:v>Reconciliation note recorded</x:v>
      </x:c>
      <x:c r="F10" s="55" t="str">
        <x:v>Synthetic samples only; no private journal content inspected.</x:v>
      </x:c>
      <x:c r="G10" s="55" t="str">
        <x:v>Codex</x:v>
      </x:c>
    </x:row>
  </x:sheetData>
  <x:pageMargins left="0.7" right="0.7" top="0.75" bottom="0.75" header="0.3" footer="0.3"/>
  <x:tableParts count="1">
    <x:tablePart xmlns:r="http://schemas.openxmlformats.org/officeDocument/2006/relationships" r:id="R1f29c211e5994f23"/>
  </x:tableParts>
</x:worksheet>
</file>